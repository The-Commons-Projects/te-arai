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evenue Model" sheetId="2" state="visible" r:id="rId4"/>
    <sheet name="Sensitivity" sheetId="3" state="visible" r:id="rId5"/>
    <sheet name="Capital Growth" sheetId="4" state="visible" r:id="rId6"/>
    <sheet name="Property Brief" sheetId="5" state="visible" r:id="rId7"/>
    <sheet name="Next Step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<sst xmlns="http://schemas.openxmlformats.org/spreadsheetml/2006/main" count="312" uniqueCount="269">
  <si>
    <t xml:space="preserve">THE LINKS HOUSE — MANGAWHAI</t>
  </si>
  <si>
    <t xml:space="preserve">Financial Model</t>
  </si>
  <si>
    <t xml:space="preserve">Blue cells = adjustable inputs. Yellow highlight = key assumptions.</t>
  </si>
  <si>
    <t xml:space="preserve">BUILD ASSUMPTIONS</t>
  </si>
  <si>
    <t xml:space="preserve">Enclosed build (sqm)</t>
  </si>
  <si>
    <t xml:space="preserve">Build cost per sqm (enclosed)</t>
  </si>
  <si>
    <t xml:space="preserve">Covered outdoor (sqm)</t>
  </si>
  <si>
    <t xml:space="preserve">Covered outdoor $/sqm (% of enclosed)</t>
  </si>
  <si>
    <t xml:space="preserve">Covered outdoor $/sqm</t>
  </si>
  <si>
    <t xml:space="preserve">Golf sim shed (8m x 6m = 48sqm)</t>
  </si>
  <si>
    <t xml:space="preserve">LAND &amp; SITE COSTS</t>
  </si>
  <si>
    <t xml:space="preserve">Land (1-2ha lifestyle block)</t>
  </si>
  <si>
    <t xml:space="preserve">Consenting &amp; council fees</t>
  </si>
  <si>
    <t xml:space="preserve">Siteworks &amp; services</t>
  </si>
  <si>
    <t xml:space="preserve">Landscaping</t>
  </si>
  <si>
    <t xml:space="preserve">Fencing (horse-safe, lifestyle block)</t>
  </si>
  <si>
    <t xml:space="preserve">Basic horse yards</t>
  </si>
  <si>
    <t xml:space="preserve">Furnishing (Airbnb-ready)</t>
  </si>
  <si>
    <t xml:space="preserve">PREMIUM ADD-ONS</t>
  </si>
  <si>
    <t xml:space="preserve">Golf sim technology (SkyTrak/Foresight)</t>
  </si>
  <si>
    <t xml:space="preserve">Hot tub / outdoor spa</t>
  </si>
  <si>
    <t xml:space="preserve">Gozney Dome + outdoor kitchen</t>
  </si>
  <si>
    <t xml:space="preserve">Beach gear (boards, SUPs)</t>
  </si>
  <si>
    <t xml:space="preserve">Total premium add-ons</t>
  </si>
  <si>
    <t xml:space="preserve">CONTINGENCY</t>
  </si>
  <si>
    <t xml:space="preserve">Contingency %</t>
  </si>
  <si>
    <t xml:space="preserve">Applied to build + site costs (not land or premiums)</t>
  </si>
  <si>
    <t xml:space="preserve">TOTAL PROJECT COST</t>
  </si>
  <si>
    <t xml:space="preserve">Enclosed build</t>
  </si>
  <si>
    <t xml:space="preserve">Covered outdoor</t>
  </si>
  <si>
    <t xml:space="preserve">Golf sim shed</t>
  </si>
  <si>
    <t xml:space="preserve">Site costs (consenting thru furnishing)</t>
  </si>
  <si>
    <t xml:space="preserve">Premium add-ons</t>
  </si>
  <si>
    <t xml:space="preserve">Subtotal (excl land &amp; contingency)</t>
  </si>
  <si>
    <t xml:space="preserve">Contingency</t>
  </si>
  <si>
    <t xml:space="preserve">Land</t>
  </si>
  <si>
    <t xml:space="preserve">FUNDING</t>
  </si>
  <si>
    <t xml:space="preserve">Number of partners</t>
  </si>
  <si>
    <t xml:space="preserve">Equity per partner</t>
  </si>
  <si>
    <t xml:space="preserve">Total equity</t>
  </si>
  <si>
    <t xml:space="preserve">Mortgage required</t>
  </si>
  <si>
    <t xml:space="preserve">LVR</t>
  </si>
  <si>
    <t xml:space="preserve">Interest rate</t>
  </si>
  <si>
    <t xml:space="preserve">Mortgage term (years)</t>
  </si>
  <si>
    <t xml:space="preserve">Monthly payment</t>
  </si>
  <si>
    <t xml:space="preserve">Annual mortgage (P&amp;I)</t>
  </si>
  <si>
    <t xml:space="preserve">Monthly mortgage per partner</t>
  </si>
  <si>
    <t xml:space="preserve">REVENUE MODEL</t>
  </si>
  <si>
    <t xml:space="preserve">Rates anchored to Te Arai Links 2026 rate card</t>
  </si>
  <si>
    <t xml:space="preserve">TE ARAI LINKS REFERENCE (studio, 2 adults, NZD)</t>
  </si>
  <si>
    <t xml:space="preserve">Season</t>
  </si>
  <si>
    <t xml:space="preserve">Te Arai</t>
  </si>
  <si>
    <t xml:space="preserve">Our Rate</t>
  </si>
  <si>
    <t xml:space="preserve">Per Head (6)</t>
  </si>
  <si>
    <t xml:space="preserve">Saving</t>
  </si>
  <si>
    <t xml:space="preserve">Christmas (23 Dec-5 Jan)</t>
  </si>
  <si>
    <t xml:space="preserve">Peak (6 Jan-31 Mar)</t>
  </si>
  <si>
    <t xml:space="preserve">Shoulder (Apr-May, Oct-Nov)</t>
  </si>
  <si>
    <t xml:space="preserve">Off-peak (Jun-Sep)</t>
  </si>
  <si>
    <t xml:space="preserve">NIGHTLY RATE ASSUMPTIONS</t>
  </si>
  <si>
    <t xml:space="preserve">Rate</t>
  </si>
  <si>
    <t xml:space="preserve">Nights in Season</t>
  </si>
  <si>
    <t xml:space="preserve">Occupancy %</t>
  </si>
  <si>
    <t xml:space="preserve">Bookable Nights</t>
  </si>
  <si>
    <t xml:space="preserve">Check (should = 365)</t>
  </si>
  <si>
    <t xml:space="preserve">OWNER USAGE (21 nights per partner)</t>
  </si>
  <si>
    <t xml:space="preserve">Internal rate per night</t>
  </si>
  <si>
    <t xml:space="preserve">Nights per partner per year</t>
  </si>
  <si>
    <t xml:space="preserve">Total owner nights (all partners)</t>
  </si>
  <si>
    <t xml:space="preserve">Owner nights: Peak (incl Christmas)</t>
  </si>
  <si>
    <t xml:space="preserve">Owner nights: Shoulder</t>
  </si>
  <si>
    <t xml:space="preserve">Owner nights: Off-peak</t>
  </si>
  <si>
    <t xml:space="preserve">Owner check (should = total)</t>
  </si>
  <si>
    <t xml:space="preserve">Owner revenue contribution</t>
  </si>
  <si>
    <t xml:space="preserve">RENTAL REVENUE (after owner usage)</t>
  </si>
  <si>
    <t xml:space="preserve">Rental Nights</t>
  </si>
  <si>
    <t xml:space="preserve">Revenue</t>
  </si>
  <si>
    <t xml:space="preserve">Christmas</t>
  </si>
  <si>
    <t xml:space="preserve">Peak</t>
  </si>
  <si>
    <t xml:space="preserve">Shoulder</t>
  </si>
  <si>
    <t xml:space="preserve">Off-peak</t>
  </si>
  <si>
    <t xml:space="preserve">TOTAL RENTAL</t>
  </si>
  <si>
    <t xml:space="preserve">Owner contribution</t>
  </si>
  <si>
    <t xml:space="preserve">TOTAL REVENUE</t>
  </si>
  <si>
    <t xml:space="preserve">OPERATING EXPENSES (self-managed)</t>
  </si>
  <si>
    <t xml:space="preserve">Airbnb/platform fees (3%)</t>
  </si>
  <si>
    <t xml:space="preserve">Cleaning</t>
  </si>
  <si>
    <t xml:space="preserve">Rates (Kaipara District)</t>
  </si>
  <si>
    <t xml:space="preserve">Insurance</t>
  </si>
  <si>
    <t xml:space="preserve">Maintenance &amp; repairs</t>
  </si>
  <si>
    <t xml:space="preserve">Utilities (power, water, internet, gas)</t>
  </si>
  <si>
    <t xml:space="preserve">Consumables &amp; linen</t>
  </si>
  <si>
    <t xml:space="preserve">Golf sim maintenance</t>
  </si>
  <si>
    <t xml:space="preserve">Hot tub maintenance</t>
  </si>
  <si>
    <t xml:space="preserve">Marketing &amp; listing</t>
  </si>
  <si>
    <t xml:space="preserve">TOTAL OPEX</t>
  </si>
  <si>
    <t xml:space="preserve">NET POSITION</t>
  </si>
  <si>
    <t xml:space="preserve">Total revenue</t>
  </si>
  <si>
    <t xml:space="preserve">Total operating expenses</t>
  </si>
  <si>
    <t xml:space="preserve">NET OPERATING INCOME</t>
  </si>
  <si>
    <t xml:space="preserve">ANNUAL CASH SURPLUS / (DEFICIT)</t>
  </si>
  <si>
    <t xml:space="preserve">Monthly per partner</t>
  </si>
  <si>
    <t xml:space="preserve">Breakeven rental nights</t>
  </si>
  <si>
    <t xml:space="preserve">SENSITIVITY ANALYSIS</t>
  </si>
  <si>
    <t xml:space="preserve">How build cost and land price affect monthly position per partner</t>
  </si>
  <si>
    <t xml:space="preserve">BUILD COST vs LAND PRICE — Monthly Surplus/(Deficit) Per Partner</t>
  </si>
  <si>
    <t xml:space="preserve">Build $/sqm ↓  Land →</t>
  </si>
  <si>
    <t xml:space="preserve">$400K</t>
  </si>
  <si>
    <t xml:space="preserve">$450K</t>
  </si>
  <si>
    <t xml:space="preserve">$500K</t>
  </si>
  <si>
    <t xml:space="preserve">$550K</t>
  </si>
  <si>
    <t xml:space="preserve">$600K</t>
  </si>
  <si>
    <t xml:space="preserve">$2,500</t>
  </si>
  <si>
    <t xml:space="preserve">$2,750</t>
  </si>
  <si>
    <t xml:space="preserve">$3,000</t>
  </si>
  <si>
    <t xml:space="preserve">$3,250</t>
  </si>
  <si>
    <t xml:space="preserve">$3,500</t>
  </si>
  <si>
    <t xml:space="preserve">$3,750</t>
  </si>
  <si>
    <t xml:space="preserve">$4,000</t>
  </si>
  <si>
    <t xml:space="preserve">Based on $200K equity each, 5.5% rate, 25yr term. 21 nights/partner owner usage.</t>
  </si>
  <si>
    <t xml:space="preserve">EQUITY PER PARTNER vs BUILD COST — Monthly Per Partner</t>
  </si>
  <si>
    <t xml:space="preserve">Build $/sqm ↓  Equity →</t>
  </si>
  <si>
    <t xml:space="preserve">$200K</t>
  </si>
  <si>
    <t xml:space="preserve">$210K</t>
  </si>
  <si>
    <t xml:space="preserve">$220K</t>
  </si>
  <si>
    <t xml:space="preserve">$230K</t>
  </si>
  <si>
    <t xml:space="preserve">$240K</t>
  </si>
  <si>
    <t xml:space="preserve">$250K</t>
  </si>
  <si>
    <t xml:space="preserve">Land fixed at $450K. 5.5% rate, 25yr term.</t>
  </si>
  <si>
    <t xml:space="preserve">INTEREST RATE SENSITIVITY — Monthly Per Partner</t>
  </si>
  <si>
    <t xml:space="preserve">Build $/sqm ↓  Rate →</t>
  </si>
  <si>
    <t xml:space="preserve">4.5%</t>
  </si>
  <si>
    <t xml:space="preserve">5.0%</t>
  </si>
  <si>
    <t xml:space="preserve">5.5%</t>
  </si>
  <si>
    <t xml:space="preserve">6.0%</t>
  </si>
  <si>
    <t xml:space="preserve">6.5%</t>
  </si>
  <si>
    <t xml:space="preserve">CAPITAL APPRECIATION PROJECTION</t>
  </si>
  <si>
    <t xml:space="preserve">5-YEAR EQUITY GROWTH (per partner)</t>
  </si>
  <si>
    <t xml:space="preserve">Scenario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</si>
  <si>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</si>
  <si>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</si>
  <si>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</si>
  <si>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</si>
  <si>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</si>
  <si>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</si>
  <si>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</si>
  <si>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Conservative (6%)</t>
  </si>
  <si>
    <t xml:space="preserve">Base case (8%)</t>
  </si>
  <si>
    <t xml:space="preserve">Optimistic (10%)</t>
  </si>
  <si>
    <t xml:space="preserve">Bull case (12%)</t>
  </si>
  <si>
    <t xml:space="preserve">PROPERTY DESIGN BRIEF</t>
  </si>
  <si>
    <t xml:space="preserve">The Links House, Mangawhai</t>
  </si>
  <si>
    <t xml:space="preserve">DESIGN CONCEPT</t>
  </si>
  <si>
    <t xml:space="preserve">Name</t>
  </si>
  <si>
    <t xml:space="preserve">The Links House</t>
  </si>
  <si>
    <t xml:space="preserve">Style</t>
  </si>
  <si>
    <t xml:space="preserve">Courtyard compound with covered walkways</t>
  </si>
  <si>
    <t xml:space="preserve">Inspiration</t>
  </si>
  <si>
    <t xml:space="preserve">Black Barn White Beach House (thewhitebeachhouse.co.nz)</t>
  </si>
  <si>
    <t xml:space="preserve">Aesthetic</t>
  </si>
  <si>
    <t xml:space="preserve">Modern NZ bach with dark cedar/cladding, concrete, timber</t>
  </si>
  <si>
    <t xml:space="preserve">Layout</t>
  </si>
  <si>
    <t xml:space="preserve">Two wings around central courtyard, connected by covered walkways</t>
  </si>
  <si>
    <t xml:space="preserve">1-2ha lifestyle block, Mangawhai/Te Arai corridor</t>
  </si>
  <si>
    <t xml:space="preserve">Orientation</t>
  </si>
  <si>
    <t xml:space="preserve">Masters and deck face south for views. Utility at north (arrival side)</t>
  </si>
  <si>
    <t xml:space="preserve">FLOOR PLAN (v5 concept)</t>
  </si>
  <si>
    <t xml:space="preserve">Zone</t>
  </si>
  <si>
    <t xml:space="preserve">Description</t>
  </si>
  <si>
    <t xml:space="preserve">Area</t>
  </si>
  <si>
    <t xml:space="preserve">Wing A (west, 7m x 14m)</t>
  </si>
  <si>
    <t xml:space="preserve">Scullery &gt; Kitchen/Living (open plan 12+) &gt; Master 1 + ensuite</t>
  </si>
  <si>
    <t xml:space="preserve">98sqm</t>
  </si>
  <si>
    <t xml:space="preserve">Wing B (east, 6m x 14m)</t>
  </si>
  <si>
    <t xml:space="preserve">Bunk Room &gt; Bed 4 &gt; Jack&amp;Jill Bath &gt; Bed 3 &gt; Master 2 + ensuite</t>
  </si>
  <si>
    <t xml:space="preserve">84sqm</t>
  </si>
  <si>
    <t xml:space="preserve">Connector (north)</t>
  </si>
  <si>
    <t xml:space="preserve">Entry + Mudroom (laundry + gear) + Bathroom</t>
  </si>
  <si>
    <t xml:space="preserve">~41sqm</t>
  </si>
  <si>
    <t xml:space="preserve">Covered walkways</t>
  </si>
  <si>
    <t xml:space="preserve">1.8m wide, 3 sides around courtyard</t>
  </si>
  <si>
    <t xml:space="preserve">~64sqm</t>
  </si>
  <si>
    <t xml:space="preserve">Covered deck (south)</t>
  </si>
  <si>
    <t xml:space="preserve">Gozney + BBQ + outdoor kitchen, fire pit, hot tub</t>
  </si>
  <si>
    <t xml:space="preserve">~93sqm</t>
  </si>
  <si>
    <t xml:space="preserve">Golf sim (detached)</t>
  </si>
  <si>
    <t xml:space="preserve">8m x 6m insulated shed</t>
  </si>
  <si>
    <t xml:space="preserve">48sqm</t>
  </si>
  <si>
    <t xml:space="preserve">Total enclosed</t>
  </si>
  <si>
    <t xml:space="preserve">~223sqm</t>
  </si>
  <si>
    <t xml:space="preserve">BEDROOM CONFIGURATION (sleeps 8-12)</t>
  </si>
  <si>
    <t xml:space="preserve">Room</t>
  </si>
  <si>
    <t xml:space="preserve">Config</t>
  </si>
  <si>
    <t xml:space="preserve">Notes</t>
  </si>
  <si>
    <t xml:space="preserve">Master 1</t>
  </si>
  <si>
    <t xml:space="preserve">Super King + ensuite</t>
  </si>
  <si>
    <t xml:space="preserve">Wing A south (faces deck)</t>
  </si>
  <si>
    <t xml:space="preserve">Master 2</t>
  </si>
  <si>
    <t xml:space="preserve">Wing B south (faces deck)</t>
  </si>
  <si>
    <t xml:space="preserve">Bedroom 3</t>
  </si>
  <si>
    <t xml:space="preserve">King or twin-split</t>
  </si>
  <si>
    <t xml:space="preserve">Wing B, Jack &amp; Jill bathroom</t>
  </si>
  <si>
    <t xml:space="preserve">Bedroom 4</t>
  </si>
  <si>
    <t xml:space="preserve">Bunk Room</t>
  </si>
  <si>
    <t xml:space="preserve">4 single bunks</t>
  </si>
  <si>
    <t xml:space="preserve">Wing B north (next to utility)</t>
  </si>
  <si>
    <t xml:space="preserve">GUEST PROFILES</t>
  </si>
  <si>
    <t xml:space="preserve">4 couples</t>
  </si>
  <si>
    <t xml:space="preserve">4 kings, bunk room closed or kids overflow</t>
  </si>
  <si>
    <t xml:space="preserve">Golf group (8-12)</t>
  </si>
  <si>
    <t xml:space="preserve">4 twins + 4 bunks = 12. $100/head at $1,200/night</t>
  </si>
  <si>
    <t xml:space="preserve">2-3 families</t>
  </si>
  <si>
    <t xml:space="preserve">Kings for parents, twins for kids, bunks for teens</t>
  </si>
  <si>
    <t xml:space="preserve">AREA ATTRACTIONS</t>
  </si>
  <si>
    <t xml:space="preserve">GOLF</t>
  </si>
  <si>
    <t xml:space="preserve">Te Arai Links (world #34)</t>
  </si>
  <si>
    <t xml:space="preserve">10-15 min</t>
  </si>
  <si>
    <t xml:space="preserve">Tara Iti (world #3, private)</t>
  </si>
  <si>
    <t xml:space="preserve">10 min</t>
  </si>
  <si>
    <t xml:space="preserve">Mangawhai Golf Club</t>
  </si>
  <si>
    <t xml:space="preserve">5 min</t>
  </si>
  <si>
    <t xml:space="preserve">Waipu Golf Club</t>
  </si>
  <si>
    <t xml:space="preserve">20 min</t>
  </si>
  <si>
    <t xml:space="preserve">SURF &amp; WATER</t>
  </si>
  <si>
    <t xml:space="preserve">Te Arai Point (surf)</t>
  </si>
  <si>
    <t xml:space="preserve">Mangawhai Heads Beach</t>
  </si>
  <si>
    <t xml:space="preserve">Mangawhai Estuary (kiting, SUP)</t>
  </si>
  <si>
    <t xml:space="preserve">Fishing (surf &amp; charter)</t>
  </si>
  <si>
    <t xml:space="preserve">10-30 min</t>
  </si>
  <si>
    <t xml:space="preserve">NATURE</t>
  </si>
  <si>
    <t xml:space="preserve">Waipu Caves (glowworms)</t>
  </si>
  <si>
    <t xml:space="preserve">30 min</t>
  </si>
  <si>
    <t xml:space="preserve">Horse riding on beach</t>
  </si>
  <si>
    <t xml:space="preserve">Mangawhai Cliff Walk</t>
  </si>
  <si>
    <t xml:space="preserve">Te Arai forest walks</t>
  </si>
  <si>
    <t xml:space="preserve">LIFESTYLE</t>
  </si>
  <si>
    <t xml:space="preserve">Activity Zone / skatepark</t>
  </si>
  <si>
    <t xml:space="preserve">Saturday markets</t>
  </si>
  <si>
    <t xml:space="preserve">Mangawhai village (good coffee)</t>
  </si>
  <si>
    <t xml:space="preserve">90 min from Auckland</t>
  </si>
  <si>
    <t xml:space="preserve">ACTION ITEMS</t>
  </si>
  <si>
    <t xml:space="preserve">NEXT STEPS</t>
  </si>
  <si>
    <t xml:space="preserve">#</t>
  </si>
  <si>
    <t xml:space="preserve">Action</t>
  </si>
  <si>
    <t xml:space="preserve">Owner</t>
  </si>
  <si>
    <t xml:space="preserve">Timeline</t>
  </si>
  <si>
    <t xml:space="preserve">Agree partnership structure (LTC vs LP vs co-ownership)</t>
  </si>
  <si>
    <t xml:space="preserve">All — get legal advice</t>
  </si>
  <si>
    <t xml:space="preserve">Month 1</t>
  </si>
  <si>
    <t xml:space="preserve">Confirm equity per partner ($200-250K)</t>
  </si>
  <si>
    <t xml:space="preserve">All</t>
  </si>
  <si>
    <t xml:space="preserve">Damien &amp; Simon: build cost estimate at quality level</t>
  </si>
  <si>
    <t xml:space="preserve">Damien/Simon</t>
  </si>
  <si>
    <t xml:space="preserve">Shortlist land — Mangawhai/Te Arai corridor, 1-2ha</t>
  </si>
  <si>
    <t xml:space="preserve">Month 1-3</t>
  </si>
  <si>
    <t xml:space="preserve">Confirm Kaipara zoning for short-stay rental</t>
  </si>
  <si>
    <t xml:space="preserve">Andrew</t>
  </si>
  <si>
    <t xml:space="preserve">Mortgage broker — investment lending, 3-way structure</t>
  </si>
  <si>
    <t xml:space="preserve">Month 1-2</t>
  </si>
  <si>
    <t xml:space="preserve">Tax/legal — LTC setup, GST registration, partnership agreement</t>
  </si>
  <si>
    <t xml:space="preserve">Accountant/Lawyer</t>
  </si>
  <si>
    <t xml:space="preserve">Month 2-3</t>
  </si>
  <si>
    <t xml:space="preserve">Research Airbnb comps — validate rate assumptions</t>
  </si>
  <si>
    <t xml:space="preserve">Design brief &amp; concept (courtyard compound layout)</t>
  </si>
  <si>
    <t xml:space="preserve">Month 3-6</t>
  </si>
  <si>
    <t xml:space="preserve">Build</t>
  </si>
  <si>
    <t xml:space="preserve">Month 6-14</t>
  </si>
  <si>
    <t xml:space="preserve">Furnish, list, launch</t>
  </si>
  <si>
    <t xml:space="preserve">Month 14-16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</si>
</sst>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$#,##0"/>
    <numFmt numFmtId="167" formatCode="0.0%"/>
    <numFmt numFmtId="168" formatCode="0%"/>
    <numFmt numFmtId="169" formatCode="\$#,##0;&quot;($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F3D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1F3D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C8D930"/>
        <bgColor rgb="FFFFCC00"/>
      </patternFill>
    </fill>
    <fill>
      <patternFill patternType="solid">
        <fgColor rgb="FFF5F5F0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C8D93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F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F3D"/>
    <pageSetUpPr fitToPage="false"/>
  </sheetPr>
  <dimension ref="A1:B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5" hidden="false" customHeight="true" outlineLevel="0" collapsed="false">
      <c r="A5" s="5" t="s">
        <v>3</v>
      </c>
      <c r="B5" s="6"/>
    </row>
    <row r="6" customFormat="false" ht="15" hidden="false" customHeight="true" outlineLevel="0" collapsed="false">
      <c r="A6" s="3" t="s">
        <v>4</v>
      </c>
      <c r="B6" s="7" t="n">
        <v>223</v>
      </c>
    </row>
    <row r="7" customFormat="false" ht="15" hidden="false" customHeight="true" outlineLevel="0" collapsed="false">
      <c r="A7" s="3" t="s">
        <v>5</v>
      </c>
      <c r="B7" s="8" t="n">
        <v>2500</v>
      </c>
    </row>
    <row r="8" customFormat="false" ht="15" hidden="false" customHeight="true" outlineLevel="0" collapsed="false">
      <c r="A8" s="3" t="s">
        <v>6</v>
      </c>
      <c r="B8" s="7" t="n">
        <v>100</v>
      </c>
    </row>
    <row r="9" customFormat="false" ht="15" hidden="false" customHeight="true" outlineLevel="0" collapsed="false">
      <c r="A9" s="3" t="s">
        <v>7</v>
      </c>
      <c r="B9" s="9" t="n">
        <v>0.4</v>
      </c>
    </row>
    <row r="10" customFormat="false" ht="15" hidden="false" customHeight="true" outlineLevel="0" collapsed="false">
      <c r="A10" s="3" t="s">
        <v>8</v>
      </c>
      <c r="B10" s="10" t="n">
        <f aca="false">B7*B9</f>
        <v>1000</v>
      </c>
    </row>
    <row r="11" customFormat="false" ht="15" hidden="false" customHeight="true" outlineLevel="0" collapsed="false">
      <c r="A11" s="3" t="s">
        <v>9</v>
      </c>
      <c r="B11" s="8" t="n">
        <v>35000</v>
      </c>
    </row>
    <row r="13" customFormat="false" ht="15" hidden="false" customHeight="true" outlineLevel="0" collapsed="false">
      <c r="A13" s="5" t="s">
        <v>10</v>
      </c>
      <c r="B13" s="6"/>
    </row>
    <row r="14" customFormat="false" ht="15" hidden="false" customHeight="true" outlineLevel="0" collapsed="false">
      <c r="A14" s="3" t="s">
        <v>11</v>
      </c>
      <c r="B14" s="8" t="n">
        <v>450000</v>
      </c>
    </row>
    <row r="15" customFormat="false" ht="15" hidden="false" customHeight="true" outlineLevel="0" collapsed="false">
      <c r="A15" s="3" t="s">
        <v>12</v>
      </c>
      <c r="B15" s="8" t="n">
        <v>35000</v>
      </c>
    </row>
    <row r="16" customFormat="false" ht="15" hidden="false" customHeight="true" outlineLevel="0" collapsed="false">
      <c r="A16" s="3" t="s">
        <v>13</v>
      </c>
      <c r="B16" s="8" t="n">
        <v>45000</v>
      </c>
    </row>
    <row r="17" customFormat="false" ht="15" hidden="false" customHeight="true" outlineLevel="0" collapsed="false">
      <c r="A17" s="3" t="s">
        <v>14</v>
      </c>
      <c r="B17" s="8" t="n">
        <v>25000</v>
      </c>
    </row>
    <row r="18" customFormat="false" ht="15" hidden="false" customHeight="true" outlineLevel="0" collapsed="false">
      <c r="A18" s="3" t="s">
        <v>15</v>
      </c>
      <c r="B18" s="8" t="n">
        <v>20000</v>
      </c>
    </row>
    <row r="19" customFormat="false" ht="15" hidden="false" customHeight="true" outlineLevel="0" collapsed="false">
      <c r="A19" s="3" t="s">
        <v>16</v>
      </c>
      <c r="B19" s="8" t="n">
        <v>10000</v>
      </c>
    </row>
    <row r="20" customFormat="false" ht="15" hidden="false" customHeight="true" outlineLevel="0" collapsed="false">
      <c r="A20" s="3" t="s">
        <v>17</v>
      </c>
      <c r="B20" s="8" t="n">
        <v>40000</v>
      </c>
    </row>
    <row r="22" customFormat="false" ht="15" hidden="false" customHeight="true" outlineLevel="0" collapsed="false">
      <c r="A22" s="5" t="s">
        <v>18</v>
      </c>
      <c r="B22" s="6"/>
    </row>
    <row r="23" customFormat="false" ht="15" hidden="false" customHeight="true" outlineLevel="0" collapsed="false">
      <c r="A23" s="3" t="s">
        <v>19</v>
      </c>
      <c r="B23" s="8" t="n">
        <v>12000</v>
      </c>
    </row>
    <row r="24" customFormat="false" ht="15" hidden="false" customHeight="true" outlineLevel="0" collapsed="false">
      <c r="A24" s="3" t="s">
        <v>20</v>
      </c>
      <c r="B24" s="8" t="n">
        <v>12000</v>
      </c>
    </row>
    <row r="25" customFormat="false" ht="15" hidden="false" customHeight="true" outlineLevel="0" collapsed="false">
      <c r="A25" s="3" t="s">
        <v>21</v>
      </c>
      <c r="B25" s="8" t="n">
        <v>8000</v>
      </c>
    </row>
    <row r="26" customFormat="false" ht="15" hidden="false" customHeight="true" outlineLevel="0" collapsed="false">
      <c r="A26" s="3" t="s">
        <v>22</v>
      </c>
      <c r="B26" s="8" t="n">
        <v>2500</v>
      </c>
    </row>
    <row r="27" customFormat="false" ht="15" hidden="false" customHeight="true" outlineLevel="0" collapsed="false">
      <c r="A27" s="11" t="s">
        <v>23</v>
      </c>
      <c r="B27" s="12" t="n">
        <f aca="false">SUM(B23:B26)</f>
        <v>34500</v>
      </c>
    </row>
    <row r="29" customFormat="false" ht="15" hidden="false" customHeight="true" outlineLevel="0" collapsed="false">
      <c r="A29" s="5" t="s">
        <v>24</v>
      </c>
      <c r="B29" s="6"/>
    </row>
    <row r="30" customFormat="false" ht="15" hidden="false" customHeight="true" outlineLevel="0" collapsed="false">
      <c r="A30" s="3" t="s">
        <v>25</v>
      </c>
      <c r="B30" s="9" t="n">
        <v>0.1</v>
      </c>
    </row>
    <row r="31" customFormat="false" ht="15" hidden="false" customHeight="true" outlineLevel="0" collapsed="false">
      <c r="A31" s="4" t="s">
        <v>26</v>
      </c>
    </row>
    <row r="33" customFormat="false" ht="15" hidden="false" customHeight="true" outlineLevel="0" collapsed="false">
      <c r="A33" s="5" t="s">
        <v>27</v>
      </c>
      <c r="B33" s="6"/>
    </row>
    <row r="34" customFormat="false" ht="15" hidden="false" customHeight="true" outlineLevel="0" collapsed="false">
      <c r="A34" s="3" t="s">
        <v>28</v>
      </c>
      <c r="B34" s="10" t="n">
        <f aca="false">B6*B7</f>
        <v>557500</v>
      </c>
    </row>
    <row r="35" customFormat="false" ht="15" hidden="false" customHeight="true" outlineLevel="0" collapsed="false">
      <c r="A35" s="3" t="s">
        <v>29</v>
      </c>
      <c r="B35" s="10" t="n">
        <f aca="false">B8*B10</f>
        <v>100000</v>
      </c>
    </row>
    <row r="36" customFormat="false" ht="15" hidden="false" customHeight="true" outlineLevel="0" collapsed="false">
      <c r="A36" s="3" t="s">
        <v>30</v>
      </c>
      <c r="B36" s="10" t="n">
        <f aca="false">B11</f>
        <v>35000</v>
      </c>
    </row>
    <row r="37" customFormat="false" ht="15" hidden="false" customHeight="true" outlineLevel="0" collapsed="false">
      <c r="A37" s="3" t="s">
        <v>31</v>
      </c>
      <c r="B37" s="10" t="n">
        <f aca="false">SUM(B15:B20)</f>
        <v>175000</v>
      </c>
    </row>
    <row r="38" customFormat="false" ht="15" hidden="false" customHeight="true" outlineLevel="0" collapsed="false">
      <c r="A38" s="3" t="s">
        <v>32</v>
      </c>
      <c r="B38" s="10" t="n">
        <f aca="false">B27</f>
        <v>34500</v>
      </c>
    </row>
    <row r="39" customFormat="false" ht="15" hidden="false" customHeight="true" outlineLevel="0" collapsed="false">
      <c r="A39" s="3" t="s">
        <v>33</v>
      </c>
      <c r="B39" s="10" t="n">
        <f aca="false">SUM(B34:B38)</f>
        <v>902000</v>
      </c>
    </row>
    <row r="40" customFormat="false" ht="15" hidden="false" customHeight="true" outlineLevel="0" collapsed="false">
      <c r="A40" s="3" t="s">
        <v>34</v>
      </c>
      <c r="B40" s="10" t="n">
        <f aca="false">(B34+B35+B36+B37)*B30</f>
        <v>86750</v>
      </c>
    </row>
    <row r="41" customFormat="false" ht="15" hidden="false" customHeight="true" outlineLevel="0" collapsed="false">
      <c r="A41" s="3" t="s">
        <v>35</v>
      </c>
      <c r="B41" s="10" t="n">
        <f aca="false">B14</f>
        <v>450000</v>
      </c>
    </row>
    <row r="42" customFormat="false" ht="15" hidden="false" customHeight="true" outlineLevel="0" collapsed="false">
      <c r="A42" s="13" t="s">
        <v>27</v>
      </c>
      <c r="B42" s="14" t="n">
        <f aca="false">B39+B40+B41</f>
        <v>1438750</v>
      </c>
    </row>
    <row r="44" customFormat="false" ht="15" hidden="false" customHeight="true" outlineLevel="0" collapsed="false">
      <c r="A44" s="5" t="s">
        <v>36</v>
      </c>
      <c r="B44" s="6"/>
    </row>
    <row r="45" customFormat="false" ht="15" hidden="false" customHeight="true" outlineLevel="0" collapsed="false">
      <c r="A45" s="3" t="s">
        <v>37</v>
      </c>
      <c r="B45" s="7" t="n">
        <v>3</v>
      </c>
    </row>
    <row r="46" customFormat="false" ht="15" hidden="false" customHeight="true" outlineLevel="0" collapsed="false">
      <c r="A46" s="3" t="s">
        <v>38</v>
      </c>
      <c r="B46" s="8" t="n">
        <v>200000</v>
      </c>
    </row>
    <row r="47" customFormat="false" ht="15" hidden="false" customHeight="true" outlineLevel="0" collapsed="false">
      <c r="A47" s="3" t="s">
        <v>39</v>
      </c>
      <c r="B47" s="10" t="n">
        <f aca="false">B45*B46</f>
        <v>600000</v>
      </c>
    </row>
    <row r="48" customFormat="false" ht="15" hidden="false" customHeight="true" outlineLevel="0" collapsed="false">
      <c r="A48" s="11" t="s">
        <v>40</v>
      </c>
      <c r="B48" s="12" t="n">
        <f aca="false">B42-B47</f>
        <v>838750</v>
      </c>
    </row>
    <row r="49" customFormat="false" ht="15" hidden="false" customHeight="true" outlineLevel="0" collapsed="false">
      <c r="A49" s="3" t="s">
        <v>41</v>
      </c>
      <c r="B49" s="15" t="n">
        <f aca="false">B48/B42</f>
        <v>0.582971329278888</v>
      </c>
    </row>
    <row r="50" customFormat="false" ht="15" hidden="false" customHeight="true" outlineLevel="0" collapsed="false">
      <c r="A50" s="3" t="s">
        <v>42</v>
      </c>
      <c r="B50" s="9" t="n">
        <v>0.055</v>
      </c>
    </row>
    <row r="51" customFormat="false" ht="15" hidden="false" customHeight="true" outlineLevel="0" collapsed="false">
      <c r="A51" s="3" t="s">
        <v>43</v>
      </c>
      <c r="B51" s="7" t="n">
        <v>25</v>
      </c>
    </row>
    <row r="52" customFormat="false" ht="15" hidden="false" customHeight="true" outlineLevel="0" collapsed="false">
      <c r="A52" s="11" t="s">
        <v>44</v>
      </c>
      <c r="B52" s="12" t="n">
        <f aca="false">-PMT(B50/12,B51*12,B48)</f>
        <v>5150.65884151083</v>
      </c>
    </row>
    <row r="53" customFormat="false" ht="15" hidden="false" customHeight="true" outlineLevel="0" collapsed="false">
      <c r="A53" s="11" t="s">
        <v>45</v>
      </c>
      <c r="B53" s="12" t="n">
        <f aca="false">B52*12</f>
        <v>61807.90609813</v>
      </c>
    </row>
    <row r="54" customFormat="false" ht="15" hidden="false" customHeight="true" outlineLevel="0" collapsed="false">
      <c r="A54" s="3" t="s">
        <v>46</v>
      </c>
      <c r="B54" s="10" t="n">
        <f aca="false">B52/B45</f>
        <v>1716.88628050361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D930"/>
    <pageSetUpPr fitToPage="false"/>
  </sheetPr>
  <dimension ref="A1:E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6" min="2" style="1" width="16"/>
  </cols>
  <sheetData>
    <row r="1" customFormat="false" ht="17.25" hidden="false" customHeight="true" outlineLevel="0" collapsed="false">
      <c r="A1" s="2" t="s">
        <v>47</v>
      </c>
    </row>
    <row r="2" customFormat="false" ht="15" hidden="false" customHeight="true" outlineLevel="0" collapsed="false">
      <c r="A2" s="4" t="s">
        <v>48</v>
      </c>
    </row>
    <row r="4" customFormat="false" ht="15" hidden="false" customHeight="true" outlineLevel="0" collapsed="false">
      <c r="A4" s="5" t="s">
        <v>49</v>
      </c>
      <c r="B4" s="6"/>
      <c r="C4" s="6"/>
      <c r="D4" s="6"/>
      <c r="E4" s="6"/>
    </row>
    <row r="5" customFormat="false" ht="15" hidden="false" customHeight="true" outlineLevel="0" collapsed="false">
      <c r="A5" s="16" t="s">
        <v>50</v>
      </c>
      <c r="B5" s="16" t="s">
        <v>51</v>
      </c>
      <c r="C5" s="16" t="s">
        <v>52</v>
      </c>
      <c r="D5" s="16" t="s">
        <v>53</v>
      </c>
      <c r="E5" s="16" t="s">
        <v>54</v>
      </c>
    </row>
    <row r="6" customFormat="false" ht="15" hidden="false" customHeight="true" outlineLevel="0" collapsed="false">
      <c r="A6" s="3" t="s">
        <v>55</v>
      </c>
      <c r="B6" s="8" t="n">
        <v>1188</v>
      </c>
      <c r="C6" s="8" t="n">
        <v>1500</v>
      </c>
      <c r="D6" s="10" t="n">
        <f aca="false">C6/6</f>
        <v>250</v>
      </c>
      <c r="E6" s="17" t="n">
        <f aca="false">1-D6/B6</f>
        <v>0.78956228956229</v>
      </c>
    </row>
    <row r="7" customFormat="false" ht="15" hidden="false" customHeight="true" outlineLevel="0" collapsed="false">
      <c r="A7" s="3" t="s">
        <v>56</v>
      </c>
      <c r="B7" s="8" t="n">
        <v>935</v>
      </c>
      <c r="C7" s="8" t="n">
        <v>1200</v>
      </c>
      <c r="D7" s="10" t="n">
        <f aca="false">C7/6</f>
        <v>200</v>
      </c>
      <c r="E7" s="17" t="n">
        <f aca="false">1-D7/B7</f>
        <v>0.786096256684492</v>
      </c>
    </row>
    <row r="8" customFormat="false" ht="15" hidden="false" customHeight="true" outlineLevel="0" collapsed="false">
      <c r="A8" s="3" t="s">
        <v>57</v>
      </c>
      <c r="B8" s="8" t="n">
        <v>700</v>
      </c>
      <c r="C8" s="8" t="n">
        <v>850</v>
      </c>
      <c r="D8" s="10" t="n">
        <f aca="false">C8/6</f>
        <v>141.666666666667</v>
      </c>
      <c r="E8" s="17" t="n">
        <f aca="false">1-D8/B8</f>
        <v>0.797619047619048</v>
      </c>
    </row>
    <row r="9" customFormat="false" ht="15" hidden="false" customHeight="true" outlineLevel="0" collapsed="false">
      <c r="A9" s="3" t="s">
        <v>58</v>
      </c>
      <c r="B9" s="8" t="n">
        <v>590</v>
      </c>
      <c r="C9" s="8" t="n">
        <v>650</v>
      </c>
      <c r="D9" s="10" t="n">
        <f aca="false">C9/6</f>
        <v>108.333333333333</v>
      </c>
      <c r="E9" s="17" t="n">
        <f aca="false">1-D9/B9</f>
        <v>0.81638418079096</v>
      </c>
    </row>
    <row r="11" customFormat="false" ht="15" hidden="false" customHeight="true" outlineLevel="0" collapsed="false">
      <c r="A11" s="5" t="s">
        <v>59</v>
      </c>
      <c r="B11" s="6"/>
      <c r="C11" s="6"/>
      <c r="D11" s="6"/>
      <c r="E11" s="6"/>
    </row>
    <row r="12" customFormat="false" ht="15" hidden="false" customHeight="true" outlineLevel="0" collapsed="false">
      <c r="A12" s="16" t="s">
        <v>50</v>
      </c>
      <c r="B12" s="16" t="s">
        <v>60</v>
      </c>
      <c r="C12" s="16" t="s">
        <v>61</v>
      </c>
      <c r="D12" s="16" t="s">
        <v>62</v>
      </c>
      <c r="E12" s="16" t="s">
        <v>63</v>
      </c>
    </row>
    <row r="13" customFormat="false" ht="15" hidden="false" customHeight="true" outlineLevel="0" collapsed="false">
      <c r="A13" s="3" t="s">
        <v>55</v>
      </c>
      <c r="B13" s="8" t="n">
        <v>1500</v>
      </c>
      <c r="C13" s="7" t="n">
        <v>14</v>
      </c>
      <c r="D13" s="18" t="n">
        <v>0.9</v>
      </c>
      <c r="E13" s="19" t="n">
        <f aca="false">C13*D13</f>
        <v>12.6</v>
      </c>
    </row>
    <row r="14" customFormat="false" ht="15" hidden="false" customHeight="true" outlineLevel="0" collapsed="false">
      <c r="A14" s="3" t="s">
        <v>56</v>
      </c>
      <c r="B14" s="8" t="n">
        <v>1200</v>
      </c>
      <c r="C14" s="7" t="n">
        <v>85</v>
      </c>
      <c r="D14" s="18" t="n">
        <v>0.8</v>
      </c>
      <c r="E14" s="19" t="n">
        <f aca="false">C14*D14</f>
        <v>68</v>
      </c>
    </row>
    <row r="15" customFormat="false" ht="15" hidden="false" customHeight="true" outlineLevel="0" collapsed="false">
      <c r="A15" s="3" t="s">
        <v>57</v>
      </c>
      <c r="B15" s="8" t="n">
        <v>850</v>
      </c>
      <c r="C15" s="7" t="n">
        <v>122</v>
      </c>
      <c r="D15" s="18" t="n">
        <v>0.55</v>
      </c>
      <c r="E15" s="19" t="n">
        <f aca="false">C15*D15</f>
        <v>67.1</v>
      </c>
    </row>
    <row r="16" customFormat="false" ht="15" hidden="false" customHeight="true" outlineLevel="0" collapsed="false">
      <c r="A16" s="3" t="s">
        <v>58</v>
      </c>
      <c r="B16" s="8" t="n">
        <v>650</v>
      </c>
      <c r="C16" s="7" t="n">
        <v>144</v>
      </c>
      <c r="D16" s="18" t="n">
        <v>0.4</v>
      </c>
      <c r="E16" s="19" t="n">
        <f aca="false">C16*D16</f>
        <v>57.6</v>
      </c>
    </row>
    <row r="17" customFormat="false" ht="15" hidden="false" customHeight="true" outlineLevel="0" collapsed="false">
      <c r="A17" s="3" t="s">
        <v>64</v>
      </c>
      <c r="C17" s="19" t="n">
        <f aca="false">SUM(C13:C16)</f>
        <v>365</v>
      </c>
    </row>
    <row r="19" customFormat="false" ht="15" hidden="false" customHeight="true" outlineLevel="0" collapsed="false">
      <c r="A19" s="5" t="s">
        <v>65</v>
      </c>
      <c r="B19" s="6"/>
      <c r="C19" s="6"/>
      <c r="D19" s="6"/>
      <c r="E19" s="6"/>
    </row>
    <row r="20" customFormat="false" ht="15" hidden="false" customHeight="true" outlineLevel="0" collapsed="false">
      <c r="A20" s="3" t="s">
        <v>66</v>
      </c>
      <c r="B20" s="8" t="n">
        <v>200</v>
      </c>
    </row>
    <row r="21" customFormat="false" ht="15" hidden="false" customHeight="true" outlineLevel="0" collapsed="false">
      <c r="A21" s="3" t="s">
        <v>67</v>
      </c>
      <c r="B21" s="7" t="n">
        <v>21</v>
      </c>
    </row>
    <row r="22" customFormat="false" ht="15" hidden="false" customHeight="true" outlineLevel="0" collapsed="false">
      <c r="A22" s="3" t="s">
        <v>68</v>
      </c>
      <c r="B22" s="20" t="n">
        <f aca="false">B21*Assumptions!B45</f>
        <v>63</v>
      </c>
    </row>
    <row r="23" customFormat="false" ht="15" hidden="false" customHeight="true" outlineLevel="0" collapsed="false">
      <c r="A23" s="3" t="s">
        <v>69</v>
      </c>
      <c r="B23" s="7" t="n">
        <v>28</v>
      </c>
    </row>
    <row r="24" customFormat="false" ht="15" hidden="false" customHeight="true" outlineLevel="0" collapsed="false">
      <c r="A24" s="3" t="s">
        <v>70</v>
      </c>
      <c r="B24" s="7" t="n">
        <v>21</v>
      </c>
    </row>
    <row r="25" customFormat="false" ht="15" hidden="false" customHeight="true" outlineLevel="0" collapsed="false">
      <c r="A25" s="3" t="s">
        <v>71</v>
      </c>
      <c r="B25" s="7" t="n">
        <v>14</v>
      </c>
    </row>
    <row r="26" customFormat="false" ht="15" hidden="false" customHeight="true" outlineLevel="0" collapsed="false">
      <c r="A26" s="3" t="s">
        <v>72</v>
      </c>
      <c r="B26" s="19" t="n">
        <f aca="false">B23+B24+B25</f>
        <v>63</v>
      </c>
    </row>
    <row r="27" customFormat="false" ht="15" hidden="false" customHeight="true" outlineLevel="0" collapsed="false">
      <c r="A27" s="11" t="s">
        <v>73</v>
      </c>
      <c r="B27" s="12" t="n">
        <f aca="false">B22*B20</f>
        <v>12600</v>
      </c>
    </row>
    <row r="29" customFormat="false" ht="15" hidden="false" customHeight="true" outlineLevel="0" collapsed="false">
      <c r="A29" s="5" t="s">
        <v>74</v>
      </c>
      <c r="B29" s="6"/>
      <c r="C29" s="6"/>
      <c r="D29" s="6"/>
    </row>
    <row r="30" customFormat="false" ht="15" hidden="false" customHeight="true" outlineLevel="0" collapsed="false">
      <c r="A30" s="16" t="s">
        <v>50</v>
      </c>
      <c r="B30" s="16" t="s">
        <v>75</v>
      </c>
      <c r="C30" s="16" t="s">
        <v>60</v>
      </c>
      <c r="D30" s="16" t="s">
        <v>76</v>
      </c>
    </row>
    <row r="31" customFormat="false" ht="15" hidden="false" customHeight="true" outlineLevel="0" collapsed="false">
      <c r="A31" s="3" t="s">
        <v>77</v>
      </c>
      <c r="B31" s="19" t="n">
        <f aca="false">E13</f>
        <v>12.6</v>
      </c>
      <c r="C31" s="21" t="n">
        <f aca="false">B13</f>
        <v>1500</v>
      </c>
      <c r="D31" s="10" t="n">
        <f aca="false">B31*C31</f>
        <v>18900</v>
      </c>
    </row>
    <row r="32" customFormat="false" ht="15" hidden="false" customHeight="true" outlineLevel="0" collapsed="false">
      <c r="A32" s="3" t="s">
        <v>78</v>
      </c>
      <c r="B32" s="19" t="n">
        <f aca="false">E14-B23</f>
        <v>40</v>
      </c>
      <c r="C32" s="21" t="n">
        <f aca="false">B14</f>
        <v>1200</v>
      </c>
      <c r="D32" s="10" t="n">
        <f aca="false">B32*C32</f>
        <v>48000</v>
      </c>
    </row>
    <row r="33" customFormat="false" ht="15" hidden="false" customHeight="true" outlineLevel="0" collapsed="false">
      <c r="A33" s="3" t="s">
        <v>79</v>
      </c>
      <c r="B33" s="19" t="n">
        <f aca="false">E15-B24</f>
        <v>46.1</v>
      </c>
      <c r="C33" s="21" t="n">
        <f aca="false">B15</f>
        <v>850</v>
      </c>
      <c r="D33" s="10" t="n">
        <f aca="false">B33*C33</f>
        <v>39185</v>
      </c>
    </row>
    <row r="34" customFormat="false" ht="15" hidden="false" customHeight="true" outlineLevel="0" collapsed="false">
      <c r="A34" s="3" t="s">
        <v>80</v>
      </c>
      <c r="B34" s="19" t="n">
        <f aca="false">E16-B25</f>
        <v>43.6</v>
      </c>
      <c r="C34" s="21" t="n">
        <f aca="false">B16</f>
        <v>650</v>
      </c>
      <c r="D34" s="10" t="n">
        <f aca="false">B34*C34</f>
        <v>28340</v>
      </c>
    </row>
    <row r="35" customFormat="false" ht="15" hidden="false" customHeight="true" outlineLevel="0" collapsed="false">
      <c r="A35" s="13" t="s">
        <v>81</v>
      </c>
      <c r="B35" s="22" t="n">
        <f aca="false">SUM(B31:B34)</f>
        <v>142.3</v>
      </c>
      <c r="D35" s="14" t="n">
        <f aca="false">SUM(D31:D34)</f>
        <v>134425</v>
      </c>
    </row>
    <row r="36" customFormat="false" ht="15" hidden="false" customHeight="true" outlineLevel="0" collapsed="false">
      <c r="A36" s="3" t="s">
        <v>82</v>
      </c>
      <c r="D36" s="21" t="n">
        <f aca="false">B27</f>
        <v>12600</v>
      </c>
    </row>
    <row r="37" customFormat="false" ht="15" hidden="false" customHeight="true" outlineLevel="0" collapsed="false">
      <c r="A37" s="13" t="s">
        <v>83</v>
      </c>
      <c r="D37" s="14" t="n">
        <f aca="false">D35+D36</f>
        <v>147025</v>
      </c>
    </row>
    <row r="39" customFormat="false" ht="15" hidden="false" customHeight="true" outlineLevel="0" collapsed="false">
      <c r="A39" s="5" t="s">
        <v>84</v>
      </c>
      <c r="B39" s="6"/>
      <c r="C39" s="6"/>
      <c r="D39" s="6"/>
    </row>
    <row r="40" customFormat="false" ht="15" hidden="false" customHeight="true" outlineLevel="0" collapsed="false">
      <c r="A40" s="3" t="s">
        <v>85</v>
      </c>
      <c r="B40" s="10" t="n">
        <f aca="false">D35*0.03</f>
        <v>4032.75</v>
      </c>
    </row>
    <row r="41" customFormat="false" ht="15" hidden="false" customHeight="true" outlineLevel="0" collapsed="false">
      <c r="A41" s="3" t="s">
        <v>86</v>
      </c>
      <c r="B41" s="8" t="n">
        <v>9000</v>
      </c>
    </row>
    <row r="42" customFormat="false" ht="15" hidden="false" customHeight="true" outlineLevel="0" collapsed="false">
      <c r="A42" s="3" t="s">
        <v>87</v>
      </c>
      <c r="B42" s="8" t="n">
        <v>5000</v>
      </c>
    </row>
    <row r="43" customFormat="false" ht="15" hidden="false" customHeight="true" outlineLevel="0" collapsed="false">
      <c r="A43" s="3" t="s">
        <v>88</v>
      </c>
      <c r="B43" s="8" t="n">
        <v>4500</v>
      </c>
    </row>
    <row r="44" customFormat="false" ht="15" hidden="false" customHeight="true" outlineLevel="0" collapsed="false">
      <c r="A44" s="3" t="s">
        <v>89</v>
      </c>
      <c r="B44" s="8" t="n">
        <v>5500</v>
      </c>
    </row>
    <row r="45" customFormat="false" ht="15" hidden="false" customHeight="true" outlineLevel="0" collapsed="false">
      <c r="A45" s="3" t="s">
        <v>90</v>
      </c>
      <c r="B45" s="8" t="n">
        <v>6500</v>
      </c>
    </row>
    <row r="46" customFormat="false" ht="15" hidden="false" customHeight="true" outlineLevel="0" collapsed="false">
      <c r="A46" s="3" t="s">
        <v>91</v>
      </c>
      <c r="B46" s="8" t="n">
        <v>3500</v>
      </c>
    </row>
    <row r="47" customFormat="false" ht="15" hidden="false" customHeight="true" outlineLevel="0" collapsed="false">
      <c r="A47" s="3" t="s">
        <v>92</v>
      </c>
      <c r="B47" s="8" t="n">
        <v>1500</v>
      </c>
    </row>
    <row r="48" customFormat="false" ht="15" hidden="false" customHeight="true" outlineLevel="0" collapsed="false">
      <c r="A48" s="3" t="s">
        <v>93</v>
      </c>
      <c r="B48" s="8" t="n">
        <v>1200</v>
      </c>
    </row>
    <row r="49" customFormat="false" ht="15" hidden="false" customHeight="true" outlineLevel="0" collapsed="false">
      <c r="A49" s="3" t="s">
        <v>94</v>
      </c>
      <c r="B49" s="8" t="n">
        <v>1500</v>
      </c>
    </row>
    <row r="50" customFormat="false" ht="15" hidden="false" customHeight="true" outlineLevel="0" collapsed="false">
      <c r="A50" s="16" t="s">
        <v>95</v>
      </c>
      <c r="B50" s="23" t="n">
        <f aca="false">SUM(B40:B49)</f>
        <v>42232.75</v>
      </c>
    </row>
    <row r="52" customFormat="false" ht="15" hidden="false" customHeight="true" outlineLevel="0" collapsed="false">
      <c r="A52" s="5" t="s">
        <v>96</v>
      </c>
      <c r="B52" s="6"/>
      <c r="C52" s="6"/>
      <c r="D52" s="6"/>
    </row>
    <row r="53" customFormat="false" ht="15" hidden="false" customHeight="true" outlineLevel="0" collapsed="false">
      <c r="A53" s="3" t="s">
        <v>97</v>
      </c>
      <c r="B53" s="21" t="n">
        <f aca="false">D37</f>
        <v>147025</v>
      </c>
    </row>
    <row r="54" customFormat="false" ht="15" hidden="false" customHeight="true" outlineLevel="0" collapsed="false">
      <c r="A54" s="3" t="s">
        <v>98</v>
      </c>
      <c r="B54" s="21" t="n">
        <f aca="false">B50</f>
        <v>42232.75</v>
      </c>
    </row>
    <row r="55" customFormat="false" ht="15" hidden="false" customHeight="true" outlineLevel="0" collapsed="false">
      <c r="A55" s="13" t="s">
        <v>99</v>
      </c>
      <c r="B55" s="14" t="n">
        <f aca="false">B53-B54</f>
        <v>104792.25</v>
      </c>
    </row>
    <row r="56" customFormat="false" ht="15" hidden="false" customHeight="true" outlineLevel="0" collapsed="false">
      <c r="A56" s="3" t="s">
        <v>45</v>
      </c>
      <c r="B56" s="21" t="n">
        <f aca="false">Assumptions!B53</f>
        <v>61807.90609813</v>
      </c>
    </row>
    <row r="57" customFormat="false" ht="15" hidden="false" customHeight="true" outlineLevel="0" collapsed="false">
      <c r="A57" s="13" t="s">
        <v>100</v>
      </c>
      <c r="B57" s="24" t="n">
        <f aca="false">B55-B56</f>
        <v>42984.34390187</v>
      </c>
    </row>
    <row r="58" customFormat="false" ht="15" hidden="false" customHeight="true" outlineLevel="0" collapsed="false">
      <c r="A58" s="11" t="s">
        <v>101</v>
      </c>
      <c r="B58" s="25" t="n">
        <f aca="false">B57/12/Assumptions!B45</f>
        <v>1194.00955282972</v>
      </c>
    </row>
    <row r="59" customFormat="false" ht="15" hidden="false" customHeight="true" outlineLevel="0" collapsed="false">
      <c r="A59" s="3" t="s">
        <v>102</v>
      </c>
      <c r="B59" s="19" t="n">
        <f aca="false">(B50+B56-D36)/((D35)/B35)</f>
        <v>96.7975106026699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7" min="2" style="1" width="14"/>
  </cols>
  <sheetData>
    <row r="1" customFormat="false" ht="17.25" hidden="false" customHeight="true" outlineLevel="0" collapsed="false">
      <c r="A1" s="2" t="s">
        <v>103</v>
      </c>
    </row>
    <row r="2" customFormat="false" ht="15" hidden="false" customHeight="true" outlineLevel="0" collapsed="false">
      <c r="A2" s="4" t="s">
        <v>104</v>
      </c>
    </row>
    <row r="4" customFormat="false" ht="15" hidden="false" customHeight="true" outlineLevel="0" collapsed="false">
      <c r="A4" s="5" t="s">
        <v>105</v>
      </c>
      <c r="B4" s="6"/>
      <c r="C4" s="6"/>
      <c r="D4" s="6"/>
      <c r="E4" s="6"/>
      <c r="F4" s="6"/>
    </row>
    <row r="5" customFormat="false" ht="15" hidden="false" customHeight="true" outlineLevel="0" collapsed="false">
      <c r="A5" s="16" t="s">
        <v>106</v>
      </c>
      <c r="B5" s="26" t="s">
        <v>107</v>
      </c>
      <c r="C5" s="26" t="s">
        <v>108</v>
      </c>
      <c r="D5" s="26" t="s">
        <v>109</v>
      </c>
      <c r="E5" s="26" t="s">
        <v>110</v>
      </c>
      <c r="F5" s="26" t="s">
        <v>111</v>
      </c>
    </row>
    <row r="6" customFormat="false" ht="15" hidden="false" customHeight="true" outlineLevel="0" collapsed="false">
      <c r="A6" s="11" t="s">
        <v>112</v>
      </c>
      <c r="B6" s="27" t="n">
        <v>1313</v>
      </c>
      <c r="C6" s="27" t="n">
        <v>1210</v>
      </c>
      <c r="D6" s="27" t="n">
        <v>1108</v>
      </c>
      <c r="E6" s="27" t="n">
        <v>1005</v>
      </c>
      <c r="F6" s="27" t="n">
        <v>903</v>
      </c>
    </row>
    <row r="7" customFormat="false" ht="15" hidden="false" customHeight="true" outlineLevel="0" collapsed="false">
      <c r="A7" s="11" t="s">
        <v>113</v>
      </c>
      <c r="B7" s="27" t="n">
        <v>1164</v>
      </c>
      <c r="C7" s="27" t="n">
        <v>1062</v>
      </c>
      <c r="D7" s="27" t="n">
        <v>960</v>
      </c>
      <c r="E7" s="27" t="n">
        <v>857</v>
      </c>
      <c r="F7" s="27" t="n">
        <v>755</v>
      </c>
    </row>
    <row r="8" customFormat="false" ht="15" hidden="false" customHeight="true" outlineLevel="0" collapsed="false">
      <c r="A8" s="11" t="s">
        <v>114</v>
      </c>
      <c r="B8" s="27" t="n">
        <v>1016</v>
      </c>
      <c r="C8" s="27" t="n">
        <v>914</v>
      </c>
      <c r="D8" s="27" t="n">
        <v>812</v>
      </c>
      <c r="E8" s="27" t="n">
        <v>709</v>
      </c>
      <c r="F8" s="27" t="n">
        <v>607</v>
      </c>
    </row>
    <row r="9" customFormat="false" ht="15" hidden="false" customHeight="true" outlineLevel="0" collapsed="false">
      <c r="A9" s="11" t="s">
        <v>115</v>
      </c>
      <c r="B9" s="27" t="n">
        <v>868</v>
      </c>
      <c r="C9" s="27" t="n">
        <v>766</v>
      </c>
      <c r="D9" s="27" t="n">
        <v>664</v>
      </c>
      <c r="E9" s="27" t="n">
        <v>561</v>
      </c>
      <c r="F9" s="27" t="n">
        <v>459</v>
      </c>
    </row>
    <row r="10" customFormat="false" ht="15" hidden="false" customHeight="true" outlineLevel="0" collapsed="false">
      <c r="A10" s="11" t="s">
        <v>116</v>
      </c>
      <c r="B10" s="27" t="n">
        <v>720</v>
      </c>
      <c r="C10" s="27" t="n">
        <v>618</v>
      </c>
      <c r="D10" s="27" t="n">
        <v>516</v>
      </c>
      <c r="E10" s="27" t="n">
        <v>413</v>
      </c>
      <c r="F10" s="27" t="n">
        <v>311</v>
      </c>
    </row>
    <row r="11" customFormat="false" ht="15" hidden="false" customHeight="true" outlineLevel="0" collapsed="false">
      <c r="A11" s="11" t="s">
        <v>117</v>
      </c>
      <c r="B11" s="27" t="n">
        <v>572</v>
      </c>
      <c r="C11" s="27" t="n">
        <v>470</v>
      </c>
      <c r="D11" s="27" t="n">
        <v>368</v>
      </c>
      <c r="E11" s="27" t="n">
        <v>265</v>
      </c>
      <c r="F11" s="27" t="n">
        <v>163</v>
      </c>
    </row>
    <row r="12" customFormat="false" ht="15" hidden="false" customHeight="true" outlineLevel="0" collapsed="false">
      <c r="A12" s="11" t="s">
        <v>118</v>
      </c>
      <c r="B12" s="27" t="n">
        <v>424</v>
      </c>
      <c r="C12" s="27" t="n">
        <v>322</v>
      </c>
      <c r="D12" s="27" t="n">
        <v>220</v>
      </c>
      <c r="E12" s="27" t="n">
        <v>117</v>
      </c>
      <c r="F12" s="27" t="n">
        <v>15</v>
      </c>
    </row>
    <row r="14" customFormat="false" ht="15" hidden="false" customHeight="true" outlineLevel="0" collapsed="false">
      <c r="A14" s="4" t="s">
        <v>119</v>
      </c>
    </row>
    <row r="16" customFormat="false" ht="15" hidden="false" customHeight="true" outlineLevel="0" collapsed="false">
      <c r="A16" s="5" t="s">
        <v>120</v>
      </c>
      <c r="B16" s="6"/>
      <c r="C16" s="6"/>
      <c r="D16" s="6"/>
      <c r="E16" s="6"/>
      <c r="F16" s="6"/>
      <c r="G16" s="6"/>
    </row>
    <row r="17" customFormat="false" ht="15" hidden="false" customHeight="true" outlineLevel="0" collapsed="false">
      <c r="A17" s="16" t="s">
        <v>121</v>
      </c>
      <c r="B17" s="26" t="s">
        <v>122</v>
      </c>
      <c r="C17" s="26" t="s">
        <v>123</v>
      </c>
      <c r="D17" s="26" t="s">
        <v>124</v>
      </c>
      <c r="E17" s="26" t="s">
        <v>125</v>
      </c>
      <c r="F17" s="26" t="s">
        <v>126</v>
      </c>
      <c r="G17" s="26" t="s">
        <v>127</v>
      </c>
    </row>
    <row r="18" customFormat="false" ht="15" hidden="false" customHeight="true" outlineLevel="0" collapsed="false">
      <c r="A18" s="11" t="s">
        <v>112</v>
      </c>
      <c r="B18" s="27" t="n">
        <v>1210</v>
      </c>
      <c r="C18" s="27" t="n">
        <v>1272</v>
      </c>
      <c r="D18" s="27" t="n">
        <v>1333</v>
      </c>
      <c r="E18" s="27" t="n">
        <v>1394</v>
      </c>
      <c r="F18" s="27" t="n">
        <v>1456</v>
      </c>
      <c r="G18" s="27" t="n">
        <v>1517</v>
      </c>
    </row>
    <row r="19" customFormat="false" ht="15" hidden="false" customHeight="true" outlineLevel="0" collapsed="false">
      <c r="A19" s="11" t="s">
        <v>113</v>
      </c>
      <c r="B19" s="27" t="n">
        <v>1062</v>
      </c>
      <c r="C19" s="27" t="n">
        <v>1124</v>
      </c>
      <c r="D19" s="27" t="n">
        <v>1185</v>
      </c>
      <c r="E19" s="27" t="n">
        <v>1246</v>
      </c>
      <c r="F19" s="27" t="n">
        <v>1308</v>
      </c>
      <c r="G19" s="27" t="n">
        <v>1369</v>
      </c>
    </row>
    <row r="20" customFormat="false" ht="15" hidden="false" customHeight="true" outlineLevel="0" collapsed="false">
      <c r="A20" s="11" t="s">
        <v>114</v>
      </c>
      <c r="B20" s="27" t="n">
        <v>914</v>
      </c>
      <c r="C20" s="27" t="n">
        <v>975</v>
      </c>
      <c r="D20" s="27" t="n">
        <v>1037</v>
      </c>
      <c r="E20" s="27" t="n">
        <v>1098</v>
      </c>
      <c r="F20" s="27" t="n">
        <v>1160</v>
      </c>
      <c r="G20" s="27" t="n">
        <v>1221</v>
      </c>
    </row>
    <row r="21" customFormat="false" ht="15" hidden="false" customHeight="true" outlineLevel="0" collapsed="false">
      <c r="A21" s="11" t="s">
        <v>115</v>
      </c>
      <c r="B21" s="27" t="n">
        <v>766</v>
      </c>
      <c r="C21" s="27" t="n">
        <v>827</v>
      </c>
      <c r="D21" s="27" t="n">
        <v>889</v>
      </c>
      <c r="E21" s="27" t="n">
        <v>950</v>
      </c>
      <c r="F21" s="27" t="n">
        <v>1012</v>
      </c>
      <c r="G21" s="27" t="n">
        <v>1073</v>
      </c>
    </row>
    <row r="22" customFormat="false" ht="15" hidden="false" customHeight="true" outlineLevel="0" collapsed="false">
      <c r="A22" s="11" t="s">
        <v>116</v>
      </c>
      <c r="B22" s="27" t="n">
        <v>618</v>
      </c>
      <c r="C22" s="27" t="n">
        <v>679</v>
      </c>
      <c r="D22" s="27" t="n">
        <v>741</v>
      </c>
      <c r="E22" s="27" t="n">
        <v>802</v>
      </c>
      <c r="F22" s="27" t="n">
        <v>864</v>
      </c>
      <c r="G22" s="27" t="n">
        <v>925</v>
      </c>
    </row>
    <row r="23" customFormat="false" ht="15" hidden="false" customHeight="true" outlineLevel="0" collapsed="false">
      <c r="A23" s="11" t="s">
        <v>117</v>
      </c>
      <c r="B23" s="27" t="n">
        <v>470</v>
      </c>
      <c r="C23" s="27" t="n">
        <v>531</v>
      </c>
      <c r="D23" s="27" t="n">
        <v>593</v>
      </c>
      <c r="E23" s="27" t="n">
        <v>654</v>
      </c>
      <c r="F23" s="27" t="n">
        <v>716</v>
      </c>
      <c r="G23" s="27" t="n">
        <v>777</v>
      </c>
    </row>
    <row r="24" customFormat="false" ht="15" hidden="false" customHeight="true" outlineLevel="0" collapsed="false">
      <c r="A24" s="11" t="s">
        <v>118</v>
      </c>
      <c r="B24" s="27" t="n">
        <v>322</v>
      </c>
      <c r="C24" s="27" t="n">
        <v>383</v>
      </c>
      <c r="D24" s="27" t="n">
        <v>445</v>
      </c>
      <c r="E24" s="27" t="n">
        <v>506</v>
      </c>
      <c r="F24" s="27" t="n">
        <v>568</v>
      </c>
      <c r="G24" s="27" t="n">
        <v>629</v>
      </c>
    </row>
    <row r="26" customFormat="false" ht="15" hidden="false" customHeight="true" outlineLevel="0" collapsed="false">
      <c r="A26" s="4" t="s">
        <v>128</v>
      </c>
    </row>
    <row r="28" customFormat="false" ht="15" hidden="false" customHeight="true" outlineLevel="0" collapsed="false">
      <c r="A28" s="5" t="s">
        <v>129</v>
      </c>
      <c r="B28" s="6"/>
      <c r="C28" s="6"/>
      <c r="D28" s="6"/>
      <c r="E28" s="6"/>
      <c r="F28" s="6"/>
    </row>
    <row r="29" customFormat="false" ht="15" hidden="false" customHeight="true" outlineLevel="0" collapsed="false">
      <c r="A29" s="16" t="s">
        <v>130</v>
      </c>
      <c r="B29" s="26" t="s">
        <v>131</v>
      </c>
      <c r="C29" s="26" t="s">
        <v>132</v>
      </c>
      <c r="D29" s="26" t="s">
        <v>133</v>
      </c>
      <c r="E29" s="26" t="s">
        <v>134</v>
      </c>
      <c r="F29" s="26" t="s">
        <v>135</v>
      </c>
    </row>
    <row r="30" customFormat="false" ht="15" hidden="false" customHeight="true" outlineLevel="0" collapsed="false">
      <c r="A30" s="11" t="s">
        <v>112</v>
      </c>
      <c r="B30" s="27" t="n">
        <v>1470</v>
      </c>
      <c r="C30" s="27" t="n">
        <v>1395</v>
      </c>
      <c r="D30" s="27" t="n">
        <v>1317</v>
      </c>
      <c r="E30" s="27" t="n">
        <v>1238</v>
      </c>
      <c r="F30" s="27" t="n">
        <v>1157</v>
      </c>
    </row>
    <row r="31" customFormat="false" ht="15" hidden="false" customHeight="true" outlineLevel="0" collapsed="false">
      <c r="A31" s="11" t="s">
        <v>114</v>
      </c>
      <c r="B31" s="27" t="n">
        <v>1202</v>
      </c>
      <c r="C31" s="27" t="n">
        <v>1113</v>
      </c>
      <c r="D31" s="27" t="n">
        <v>1021</v>
      </c>
      <c r="E31" s="27" t="n">
        <v>927</v>
      </c>
      <c r="F31" s="27" t="n">
        <v>831</v>
      </c>
    </row>
    <row r="32" customFormat="false" ht="15" hidden="false" customHeight="true" outlineLevel="0" collapsed="false">
      <c r="A32" s="11" t="s">
        <v>116</v>
      </c>
      <c r="B32" s="27" t="n">
        <v>934</v>
      </c>
      <c r="C32" s="27" t="n">
        <v>831</v>
      </c>
      <c r="D32" s="27" t="n">
        <v>725</v>
      </c>
      <c r="E32" s="27" t="n">
        <v>616</v>
      </c>
      <c r="F32" s="27" t="n">
        <v>505</v>
      </c>
    </row>
    <row r="33" customFormat="false" ht="15" hidden="false" customHeight="true" outlineLevel="0" collapsed="false">
      <c r="A33" s="11" t="s">
        <v>118</v>
      </c>
      <c r="B33" s="27" t="n">
        <v>666</v>
      </c>
      <c r="C33" s="27" t="n">
        <v>549</v>
      </c>
      <c r="D33" s="27" t="n">
        <v>429</v>
      </c>
      <c r="E33" s="27" t="n">
        <v>306</v>
      </c>
      <c r="F33" s="27" t="n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8" min="2" style="1" width="14"/>
  </cols>
  <sheetData>
    <row r="1" customFormat="false" ht="17.25" hidden="false" customHeight="true" outlineLevel="0" collapsed="false">
      <c r="A1" s="2" t="s">
        <v>136</v>
      </c>
    </row>
    <row r="3" customFormat="false" ht="15" hidden="false" customHeight="true" outlineLevel="0" collapsed="false">
      <c r="A3" s="5" t="s">
        <v>137</v>
      </c>
      <c r="B3" s="6"/>
      <c r="C3" s="6"/>
      <c r="D3" s="6"/>
      <c r="E3" s="6"/>
      <c r="F3" s="6"/>
      <c r="G3" s="6"/>
      <c r="H3" s="6"/>
    </row>
    <row r="4" customFormat="false" ht="15" hidden="false" customHeight="true" outlineLevel="0" collapsed="false">
      <c r="A4" s="16" t="s">
        <v>138</v>
      </c>
      <c r="B4" s="26" t="s">
        <v>139</v>
      </c>
      <c r="C4" s="26" t="s">
        <v>140</v>
      </c>
      <c r="D4" s="26" t="s">
        <v>141</v>
      </c>
      <c r="E4" s="26" t="s">
        <v>142</v>
      </c>
      <c r="F4" s="26" t="s">
        <v>143</v>
      </c>
      <c r="G4" s="26" t="s">
        <v>144</v>
      </c>
      <c r="H4" s="26" t="s">
        <v>145</v>
      </c>
    </row>
    <row r="5" customFormat="false" ht="15" hidden="false" customHeight="true" outlineLevel="0" collapsed="false">
      <c r="A5" s="3" t="s">
        <v>146</v>
      </c>
      <c r="B5" s="28" t="n">
        <v>234134</v>
      </c>
      <c r="C5" s="28" t="n">
        <v>270297</v>
      </c>
      <c r="D5" s="28" t="n">
        <v>308610</v>
      </c>
      <c r="E5" s="28" t="n">
        <v>349200</v>
      </c>
      <c r="F5" s="28" t="n">
        <v>392202</v>
      </c>
      <c r="G5" s="28" t="n">
        <v>437761</v>
      </c>
      <c r="H5" s="28" t="n">
        <v>486028</v>
      </c>
    </row>
    <row r="6" customFormat="false" ht="15" hidden="false" customHeight="true" outlineLevel="0" collapsed="false">
      <c r="A6" s="3" t="s">
        <v>147</v>
      </c>
      <c r="B6" s="28" t="n">
        <v>243726</v>
      </c>
      <c r="C6" s="28" t="n">
        <v>290824</v>
      </c>
      <c r="D6" s="28" t="n">
        <v>341555</v>
      </c>
      <c r="E6" s="28" t="n">
        <v>396205</v>
      </c>
      <c r="F6" s="28" t="n">
        <v>455077</v>
      </c>
      <c r="G6" s="28" t="n">
        <v>518501</v>
      </c>
      <c r="H6" s="28" t="n">
        <v>586834</v>
      </c>
    </row>
    <row r="7" customFormat="false" ht="15" hidden="false" customHeight="true" outlineLevel="0" collapsed="false">
      <c r="A7" s="3" t="s">
        <v>148</v>
      </c>
      <c r="B7" s="28" t="n">
        <v>253318</v>
      </c>
      <c r="C7" s="28" t="n">
        <v>311733</v>
      </c>
      <c r="D7" s="28" t="n">
        <v>375744</v>
      </c>
      <c r="E7" s="28" t="n">
        <v>445895</v>
      </c>
      <c r="F7" s="28" t="n">
        <v>522785</v>
      </c>
      <c r="G7" s="28" t="n">
        <v>607074</v>
      </c>
      <c r="H7" s="28" t="n">
        <v>699484</v>
      </c>
    </row>
    <row r="8" customFormat="false" ht="15" hidden="false" customHeight="true" outlineLevel="0" collapsed="false">
      <c r="A8" s="3" t="s">
        <v>149</v>
      </c>
      <c r="B8" s="28" t="n">
        <v>262909</v>
      </c>
      <c r="C8" s="28" t="n">
        <v>333027</v>
      </c>
      <c r="D8" s="28" t="n">
        <v>411199</v>
      </c>
      <c r="E8" s="28" t="n">
        <v>498371</v>
      </c>
      <c r="F8" s="28" t="n">
        <v>595601</v>
      </c>
      <c r="G8" s="28" t="n">
        <v>704075</v>
      </c>
      <c r="H8" s="28" t="n">
        <v>825118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F3D"/>
    <pageSetUpPr fitToPage="false"/>
  </sheetPr>
  <dimension ref="A1:C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0"/>
    <col collapsed="false" customWidth="true" hidden="false" outlineLevel="0" max="3" min="3" style="1" width="30"/>
  </cols>
  <sheetData>
    <row r="1" customFormat="false" ht="17.25" hidden="false" customHeight="true" outlineLevel="0" collapsed="false">
      <c r="A1" s="2" t="s">
        <v>150</v>
      </c>
    </row>
    <row r="2" customFormat="false" ht="15" hidden="false" customHeight="true" outlineLevel="0" collapsed="false">
      <c r="A2" s="29" t="s">
        <v>151</v>
      </c>
    </row>
    <row r="4" customFormat="false" ht="15" hidden="false" customHeight="true" outlineLevel="0" collapsed="false">
      <c r="A4" s="5" t="s">
        <v>152</v>
      </c>
      <c r="B4" s="6"/>
      <c r="C4" s="6"/>
    </row>
    <row r="5" customFormat="false" ht="15" hidden="false" customHeight="true" outlineLevel="0" collapsed="false">
      <c r="A5" s="11" t="s">
        <v>153</v>
      </c>
      <c r="B5" s="3" t="s">
        <v>154</v>
      </c>
    </row>
    <row r="6" customFormat="false" ht="15" hidden="false" customHeight="true" outlineLevel="0" collapsed="false">
      <c r="A6" s="11" t="s">
        <v>155</v>
      </c>
      <c r="B6" s="3" t="s">
        <v>156</v>
      </c>
    </row>
    <row r="7" customFormat="false" ht="15" hidden="false" customHeight="true" outlineLevel="0" collapsed="false">
      <c r="A7" s="11" t="s">
        <v>157</v>
      </c>
      <c r="B7" s="3" t="s">
        <v>158</v>
      </c>
    </row>
    <row r="8" customFormat="false" ht="15" hidden="false" customHeight="true" outlineLevel="0" collapsed="false">
      <c r="A8" s="11" t="s">
        <v>159</v>
      </c>
      <c r="B8" s="3" t="s">
        <v>160</v>
      </c>
    </row>
    <row r="9" customFormat="false" ht="15" hidden="false" customHeight="true" outlineLevel="0" collapsed="false">
      <c r="A9" s="11" t="s">
        <v>161</v>
      </c>
      <c r="B9" s="3" t="s">
        <v>162</v>
      </c>
    </row>
    <row r="10" customFormat="false" ht="15" hidden="false" customHeight="true" outlineLevel="0" collapsed="false">
      <c r="A10" s="11" t="s">
        <v>35</v>
      </c>
      <c r="B10" s="3" t="s">
        <v>163</v>
      </c>
    </row>
    <row r="11" customFormat="false" ht="15" hidden="false" customHeight="true" outlineLevel="0" collapsed="false">
      <c r="A11" s="11" t="s">
        <v>164</v>
      </c>
      <c r="B11" s="3" t="s">
        <v>165</v>
      </c>
    </row>
    <row r="13" customFormat="false" ht="15" hidden="false" customHeight="true" outlineLevel="0" collapsed="false">
      <c r="A13" s="5" t="s">
        <v>166</v>
      </c>
      <c r="B13" s="6"/>
      <c r="C13" s="6"/>
    </row>
    <row r="14" customFormat="false" ht="15" hidden="false" customHeight="true" outlineLevel="0" collapsed="false">
      <c r="A14" s="16" t="s">
        <v>167</v>
      </c>
      <c r="B14" s="16" t="s">
        <v>168</v>
      </c>
      <c r="C14" s="16" t="s">
        <v>169</v>
      </c>
    </row>
    <row r="15" customFormat="false" ht="15" hidden="false" customHeight="true" outlineLevel="0" collapsed="false">
      <c r="A15" s="3" t="s">
        <v>170</v>
      </c>
      <c r="B15" s="3" t="s">
        <v>171</v>
      </c>
      <c r="C15" s="3" t="s">
        <v>172</v>
      </c>
    </row>
    <row r="16" customFormat="false" ht="15" hidden="false" customHeight="true" outlineLevel="0" collapsed="false">
      <c r="A16" s="3" t="s">
        <v>173</v>
      </c>
      <c r="B16" s="3" t="s">
        <v>174</v>
      </c>
      <c r="C16" s="3" t="s">
        <v>175</v>
      </c>
    </row>
    <row r="17" customFormat="false" ht="15" hidden="false" customHeight="true" outlineLevel="0" collapsed="false">
      <c r="A17" s="3" t="s">
        <v>176</v>
      </c>
      <c r="B17" s="3" t="s">
        <v>177</v>
      </c>
      <c r="C17" s="3" t="s">
        <v>178</v>
      </c>
    </row>
    <row r="18" customFormat="false" ht="15" hidden="false" customHeight="true" outlineLevel="0" collapsed="false">
      <c r="A18" s="3" t="s">
        <v>179</v>
      </c>
      <c r="B18" s="3" t="s">
        <v>180</v>
      </c>
      <c r="C18" s="3" t="s">
        <v>181</v>
      </c>
    </row>
    <row r="19" customFormat="false" ht="15" hidden="false" customHeight="true" outlineLevel="0" collapsed="false">
      <c r="A19" s="3" t="s">
        <v>182</v>
      </c>
      <c r="B19" s="3" t="s">
        <v>183</v>
      </c>
      <c r="C19" s="3" t="s">
        <v>184</v>
      </c>
    </row>
    <row r="20" customFormat="false" ht="15" hidden="false" customHeight="true" outlineLevel="0" collapsed="false">
      <c r="A20" s="3" t="s">
        <v>185</v>
      </c>
      <c r="B20" s="3" t="s">
        <v>186</v>
      </c>
      <c r="C20" s="3" t="s">
        <v>187</v>
      </c>
    </row>
    <row r="21" customFormat="false" ht="15" hidden="false" customHeight="true" outlineLevel="0" collapsed="false">
      <c r="A21" s="3" t="s">
        <v>188</v>
      </c>
      <c r="B21" s="3"/>
      <c r="C21" s="3" t="s">
        <v>189</v>
      </c>
    </row>
    <row r="23" customFormat="false" ht="15" hidden="false" customHeight="true" outlineLevel="0" collapsed="false">
      <c r="A23" s="5" t="s">
        <v>190</v>
      </c>
      <c r="B23" s="6"/>
      <c r="C23" s="6"/>
    </row>
    <row r="24" customFormat="false" ht="15" hidden="false" customHeight="true" outlineLevel="0" collapsed="false">
      <c r="A24" s="16" t="s">
        <v>191</v>
      </c>
      <c r="B24" s="16" t="s">
        <v>192</v>
      </c>
      <c r="C24" s="16" t="s">
        <v>193</v>
      </c>
    </row>
    <row r="25" customFormat="false" ht="15" hidden="false" customHeight="true" outlineLevel="0" collapsed="false">
      <c r="A25" s="3" t="s">
        <v>194</v>
      </c>
      <c r="B25" s="3" t="s">
        <v>195</v>
      </c>
      <c r="C25" s="3" t="s">
        <v>196</v>
      </c>
    </row>
    <row r="26" customFormat="false" ht="15" hidden="false" customHeight="true" outlineLevel="0" collapsed="false">
      <c r="A26" s="3" t="s">
        <v>197</v>
      </c>
      <c r="B26" s="3" t="s">
        <v>195</v>
      </c>
      <c r="C26" s="3" t="s">
        <v>198</v>
      </c>
    </row>
    <row r="27" customFormat="false" ht="15" hidden="false" customHeight="true" outlineLevel="0" collapsed="false">
      <c r="A27" s="3" t="s">
        <v>199</v>
      </c>
      <c r="B27" s="3" t="s">
        <v>200</v>
      </c>
      <c r="C27" s="3" t="s">
        <v>201</v>
      </c>
    </row>
    <row r="28" customFormat="false" ht="15" hidden="false" customHeight="true" outlineLevel="0" collapsed="false">
      <c r="A28" s="3" t="s">
        <v>202</v>
      </c>
      <c r="B28" s="3" t="s">
        <v>200</v>
      </c>
      <c r="C28" s="3" t="s">
        <v>201</v>
      </c>
    </row>
    <row r="29" customFormat="false" ht="15" hidden="false" customHeight="true" outlineLevel="0" collapsed="false">
      <c r="A29" s="3" t="s">
        <v>203</v>
      </c>
      <c r="B29" s="3" t="s">
        <v>204</v>
      </c>
      <c r="C29" s="3" t="s">
        <v>205</v>
      </c>
    </row>
    <row r="31" customFormat="false" ht="15" hidden="false" customHeight="true" outlineLevel="0" collapsed="false">
      <c r="A31" s="5" t="s">
        <v>206</v>
      </c>
      <c r="B31" s="6"/>
      <c r="C31" s="6"/>
    </row>
    <row r="32" customFormat="false" ht="15" hidden="false" customHeight="true" outlineLevel="0" collapsed="false">
      <c r="A32" s="11" t="s">
        <v>207</v>
      </c>
      <c r="B32" s="3" t="s">
        <v>208</v>
      </c>
    </row>
    <row r="33" customFormat="false" ht="15" hidden="false" customHeight="true" outlineLevel="0" collapsed="false">
      <c r="A33" s="11" t="s">
        <v>209</v>
      </c>
      <c r="B33" s="3" t="s">
        <v>210</v>
      </c>
    </row>
    <row r="34" customFormat="false" ht="15" hidden="false" customHeight="true" outlineLevel="0" collapsed="false">
      <c r="A34" s="11" t="s">
        <v>211</v>
      </c>
      <c r="B34" s="3" t="s">
        <v>212</v>
      </c>
    </row>
    <row r="36" customFormat="false" ht="15" hidden="false" customHeight="true" outlineLevel="0" collapsed="false">
      <c r="A36" s="5" t="s">
        <v>213</v>
      </c>
      <c r="B36" s="6"/>
      <c r="C36" s="6"/>
    </row>
    <row r="37" customFormat="false" ht="15" hidden="false" customHeight="true" outlineLevel="0" collapsed="false">
      <c r="A37" s="16" t="s">
        <v>214</v>
      </c>
    </row>
    <row r="38" customFormat="false" ht="15" hidden="false" customHeight="true" outlineLevel="0" collapsed="false">
      <c r="A38" s="3" t="s">
        <v>215</v>
      </c>
      <c r="B38" s="3" t="s">
        <v>216</v>
      </c>
    </row>
    <row r="39" customFormat="false" ht="15" hidden="false" customHeight="true" outlineLevel="0" collapsed="false">
      <c r="A39" s="3" t="s">
        <v>217</v>
      </c>
      <c r="B39" s="3" t="s">
        <v>218</v>
      </c>
    </row>
    <row r="40" customFormat="false" ht="15" hidden="false" customHeight="true" outlineLevel="0" collapsed="false">
      <c r="A40" s="3" t="s">
        <v>219</v>
      </c>
      <c r="B40" s="3" t="s">
        <v>220</v>
      </c>
    </row>
    <row r="41" customFormat="false" ht="15" hidden="false" customHeight="true" outlineLevel="0" collapsed="false">
      <c r="A41" s="3" t="s">
        <v>221</v>
      </c>
      <c r="B41" s="3" t="s">
        <v>222</v>
      </c>
    </row>
    <row r="42" customFormat="false" ht="15" hidden="false" customHeight="true" outlineLevel="0" collapsed="false">
      <c r="A42" s="16" t="s">
        <v>223</v>
      </c>
    </row>
    <row r="43" customFormat="false" ht="15" hidden="false" customHeight="true" outlineLevel="0" collapsed="false">
      <c r="A43" s="3" t="s">
        <v>224</v>
      </c>
      <c r="B43" s="3" t="s">
        <v>218</v>
      </c>
    </row>
    <row r="44" customFormat="false" ht="15" hidden="false" customHeight="true" outlineLevel="0" collapsed="false">
      <c r="A44" s="3" t="s">
        <v>225</v>
      </c>
      <c r="B44" s="3" t="s">
        <v>218</v>
      </c>
    </row>
    <row r="45" customFormat="false" ht="15" hidden="false" customHeight="true" outlineLevel="0" collapsed="false">
      <c r="A45" s="3" t="s">
        <v>226</v>
      </c>
      <c r="B45" s="3" t="s">
        <v>220</v>
      </c>
    </row>
    <row r="46" customFormat="false" ht="15" hidden="false" customHeight="true" outlineLevel="0" collapsed="false">
      <c r="A46" s="3" t="s">
        <v>227</v>
      </c>
      <c r="B46" s="3" t="s">
        <v>228</v>
      </c>
    </row>
    <row r="47" customFormat="false" ht="15" hidden="false" customHeight="true" outlineLevel="0" collapsed="false">
      <c r="A47" s="16" t="s">
        <v>229</v>
      </c>
    </row>
    <row r="48" customFormat="false" ht="15" hidden="false" customHeight="true" outlineLevel="0" collapsed="false">
      <c r="A48" s="3" t="s">
        <v>230</v>
      </c>
      <c r="B48" s="3" t="s">
        <v>231</v>
      </c>
    </row>
    <row r="49" customFormat="false" ht="15" hidden="false" customHeight="true" outlineLevel="0" collapsed="false">
      <c r="A49" s="3" t="s">
        <v>232</v>
      </c>
      <c r="B49" s="3" t="s">
        <v>222</v>
      </c>
    </row>
    <row r="50" customFormat="false" ht="15" hidden="false" customHeight="true" outlineLevel="0" collapsed="false">
      <c r="A50" s="3" t="s">
        <v>233</v>
      </c>
      <c r="B50" s="3" t="s">
        <v>218</v>
      </c>
    </row>
    <row r="51" customFormat="false" ht="15" hidden="false" customHeight="true" outlineLevel="0" collapsed="false">
      <c r="A51" s="3" t="s">
        <v>234</v>
      </c>
      <c r="B51" s="3" t="s">
        <v>218</v>
      </c>
    </row>
    <row r="52" customFormat="false" ht="15" hidden="false" customHeight="true" outlineLevel="0" collapsed="false">
      <c r="A52" s="16" t="s">
        <v>235</v>
      </c>
    </row>
    <row r="53" customFormat="false" ht="15" hidden="false" customHeight="true" outlineLevel="0" collapsed="false">
      <c r="A53" s="3" t="s">
        <v>236</v>
      </c>
      <c r="B53" s="3" t="s">
        <v>220</v>
      </c>
    </row>
    <row r="54" customFormat="false" ht="15" hidden="false" customHeight="true" outlineLevel="0" collapsed="false">
      <c r="A54" s="3" t="s">
        <v>237</v>
      </c>
      <c r="B54" s="3" t="s">
        <v>220</v>
      </c>
    </row>
    <row r="55" customFormat="false" ht="15" hidden="false" customHeight="true" outlineLevel="0" collapsed="false">
      <c r="A55" s="3" t="s">
        <v>238</v>
      </c>
      <c r="B55" s="3" t="s">
        <v>220</v>
      </c>
    </row>
    <row r="56" customFormat="false" ht="15" hidden="false" customHeight="true" outlineLevel="0" collapsed="false">
      <c r="A56" s="3" t="s">
        <v>239</v>
      </c>
      <c r="B5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D930"/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0"/>
    <col collapsed="false" customWidth="true" hidden="false" outlineLevel="0" max="3" min="3" style="1" width="25"/>
    <col collapsed="false" customWidth="true" hidden="false" outlineLevel="0" max="4" min="4" style="1" width="16"/>
  </cols>
  <sheetData>
    <row r="1" customFormat="false" ht="17.25" hidden="false" customHeight="true" outlineLevel="0" collapsed="false">
      <c r="A1" s="2" t="s">
        <v>240</v>
      </c>
    </row>
    <row r="3" customFormat="false" ht="15" hidden="false" customHeight="true" outlineLevel="0" collapsed="false">
      <c r="A3" s="5" t="s">
        <v>241</v>
      </c>
      <c r="B3" s="6"/>
      <c r="C3" s="6"/>
      <c r="D3" s="6"/>
    </row>
    <row r="4" customFormat="false" ht="15" hidden="false" customHeight="true" outlineLevel="0" collapsed="false">
      <c r="A4" s="16" t="s">
        <v>242</v>
      </c>
      <c r="B4" s="16" t="s">
        <v>243</v>
      </c>
      <c r="C4" s="16" t="s">
        <v>244</v>
      </c>
      <c r="D4" s="16" t="s">
        <v>245</v>
      </c>
    </row>
    <row r="5" customFormat="false" ht="15" hidden="false" customHeight="true" outlineLevel="0" collapsed="false">
      <c r="A5" s="30" t="n">
        <v>1</v>
      </c>
      <c r="B5" s="3" t="s">
        <v>246</v>
      </c>
      <c r="C5" s="3" t="s">
        <v>247</v>
      </c>
      <c r="D5" s="3" t="s">
        <v>248</v>
      </c>
    </row>
    <row r="6" customFormat="false" ht="15" hidden="false" customHeight="true" outlineLevel="0" collapsed="false">
      <c r="A6" s="30" t="n">
        <v>2</v>
      </c>
      <c r="B6" s="3" t="s">
        <v>249</v>
      </c>
      <c r="C6" s="3" t="s">
        <v>250</v>
      </c>
      <c r="D6" s="3" t="s">
        <v>248</v>
      </c>
    </row>
    <row r="7" customFormat="false" ht="15" hidden="false" customHeight="true" outlineLevel="0" collapsed="false">
      <c r="A7" s="30" t="n">
        <v>3</v>
      </c>
      <c r="B7" s="3" t="s">
        <v>251</v>
      </c>
      <c r="C7" s="3" t="s">
        <v>252</v>
      </c>
      <c r="D7" s="3" t="s">
        <v>248</v>
      </c>
    </row>
    <row r="8" customFormat="false" ht="15" hidden="false" customHeight="true" outlineLevel="0" collapsed="false">
      <c r="A8" s="30" t="n">
        <v>4</v>
      </c>
      <c r="B8" s="3" t="s">
        <v>253</v>
      </c>
      <c r="C8" s="3" t="s">
        <v>250</v>
      </c>
      <c r="D8" s="3" t="s">
        <v>254</v>
      </c>
    </row>
    <row r="9" customFormat="false" ht="15" hidden="false" customHeight="true" outlineLevel="0" collapsed="false">
      <c r="A9" s="30" t="n">
        <v>5</v>
      </c>
      <c r="B9" s="3" t="s">
        <v>255</v>
      </c>
      <c r="C9" s="3" t="s">
        <v>256</v>
      </c>
      <c r="D9" s="3" t="s">
        <v>248</v>
      </c>
    </row>
    <row r="10" customFormat="false" ht="15" hidden="false" customHeight="true" outlineLevel="0" collapsed="false">
      <c r="A10" s="30" t="n">
        <v>6</v>
      </c>
      <c r="B10" s="3" t="s">
        <v>257</v>
      </c>
      <c r="C10" s="3" t="s">
        <v>256</v>
      </c>
      <c r="D10" s="3" t="s">
        <v>258</v>
      </c>
    </row>
    <row r="11" customFormat="false" ht="15" hidden="false" customHeight="true" outlineLevel="0" collapsed="false">
      <c r="A11" s="30" t="n">
        <v>7</v>
      </c>
      <c r="B11" s="3" t="s">
        <v>259</v>
      </c>
      <c r="C11" s="3" t="s">
        <v>260</v>
      </c>
      <c r="D11" s="3" t="s">
        <v>261</v>
      </c>
    </row>
    <row r="12" customFormat="false" ht="15" hidden="false" customHeight="true" outlineLevel="0" collapsed="false">
      <c r="A12" s="30" t="n">
        <v>8</v>
      </c>
      <c r="B12" s="3" t="s">
        <v>262</v>
      </c>
      <c r="C12" s="3" t="s">
        <v>256</v>
      </c>
      <c r="D12" s="3" t="s">
        <v>248</v>
      </c>
    </row>
    <row r="13" customFormat="false" ht="15" hidden="false" customHeight="true" outlineLevel="0" collapsed="false">
      <c r="A13" s="30" t="n">
        <v>9</v>
      </c>
      <c r="B13" s="3" t="s">
        <v>263</v>
      </c>
      <c r="C13" s="3" t="s">
        <v>252</v>
      </c>
      <c r="D13" s="3" t="s">
        <v>264</v>
      </c>
    </row>
    <row r="14" customFormat="false" ht="15" hidden="false" customHeight="true" outlineLevel="0" collapsed="false">
      <c r="A14" s="30" t="n">
        <v>10</v>
      </c>
      <c r="B14" s="3" t="s">
        <v>265</v>
      </c>
      <c r="C14" s="3" t="s">
        <v>252</v>
      </c>
      <c r="D14" s="3" t="s">
        <v>266</v>
      </c>
    </row>
    <row r="15" customFormat="false" ht="15" hidden="false" customHeight="true" outlineLevel="0" collapsed="false">
      <c r="A15" s="30" t="n">
        <v>11</v>
      </c>
      <c r="B15" s="3" t="s">
        <v>267</v>
      </c>
      <c r="C15" s="3" t="s">
        <v>256</v>
      </c>
      <c r="D15" s="3" t="s">
        <v>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2026-02-27T08:02:16Z</dcterms:created>
  <dc:creator>openpyxl</dc:creator>
  <dc:description/>
  <dc:language>en-US</dc:language>
  <cp:lastModifiedBy/>
  <dcterms:modified xsi:type="dcterms:W3CDTF">2026-02-27T17:37:48Z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